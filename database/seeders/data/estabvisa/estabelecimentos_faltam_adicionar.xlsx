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<sst xmlns="http://schemas.openxmlformats.org/spreadsheetml/2006/main" count="68" uniqueCount="68">
  <si>
    <t>Número Alvará/ dispensa</t>
  </si>
  <si>
    <t>Nível de Risco</t>
  </si>
  <si>
    <t>Nome do Responsável</t>
  </si>
  <si>
    <t>Nome do Estabelecimento</t>
  </si>
  <si>
    <t>Endereço</t>
  </si>
  <si>
    <t>CNAEs</t>
  </si>
  <si>
    <t>Data Alvará/ dispensa</t>
  </si>
  <si>
    <t>Vencimento do alvará/ dispensa</t>
  </si>
  <si>
    <t>05-01/2026</t>
  </si>
  <si>
    <t>Sueleno Alves Teixeira</t>
  </si>
  <si>
    <t>Lanchonete Top Burguer</t>
  </si>
  <si>
    <t>Avenida José Vilela da Costa, 902</t>
  </si>
  <si>
    <t>5611-2/03 5620-1/04 4729-6/99 5611-2/04</t>
  </si>
  <si>
    <t>18-02/2026</t>
  </si>
  <si>
    <t>Silveli Aparecida Costa Silva</t>
  </si>
  <si>
    <t>Jacs Comercio e Suplementos</t>
  </si>
  <si>
    <t>Rua Eugênio Magalhães, 14</t>
  </si>
  <si>
    <t>5620-1/04 4723-7/00 4729-6/99 5611-2/01</t>
  </si>
  <si>
    <t>04-08/2025</t>
  </si>
  <si>
    <t>Gabriela de Paula Pereira</t>
  </si>
  <si>
    <t>Naturalíssima</t>
  </si>
  <si>
    <t>Rua Francisco de Ouro, 98</t>
  </si>
  <si>
    <t>4729-6/99</t>
  </si>
  <si>
    <t>08-08/2025</t>
  </si>
  <si>
    <t>Zuleide F. Marques Vaz</t>
  </si>
  <si>
    <t>Padaria Tradição</t>
  </si>
  <si>
    <t>Avenida XV de novembro, 330</t>
  </si>
  <si>
    <t>1091-1/02</t>
  </si>
  <si>
    <t>14-04/2025</t>
  </si>
  <si>
    <t>Silvano Bernardes de Souza</t>
  </si>
  <si>
    <t>Bar do Silvano</t>
  </si>
  <si>
    <t>Rua Maranhão, 159</t>
  </si>
  <si>
    <t>5611-2/04</t>
  </si>
  <si>
    <t>02-08/2025</t>
  </si>
  <si>
    <t>Dione Aurelio da Silva Cruz</t>
  </si>
  <si>
    <t>Bar do Dione</t>
  </si>
  <si>
    <t>Rua Teradentes ,155</t>
  </si>
  <si>
    <t>5611-2/05</t>
  </si>
  <si>
    <t>09-09/2025</t>
  </si>
  <si>
    <t>Antônio Marcos Dias</t>
  </si>
  <si>
    <t>Bar do Toninho</t>
  </si>
  <si>
    <t>Rua Treze de Maio, 431</t>
  </si>
  <si>
    <t>5611-2/04 4712-1/00 5611-2/05</t>
  </si>
  <si>
    <t>06-02/2026</t>
  </si>
  <si>
    <t>Fabio Reis Damasceno</t>
  </si>
  <si>
    <t>Bar do Fábio</t>
  </si>
  <si>
    <t>Rua Francisco Passos Maia, 125A</t>
  </si>
  <si>
    <t>4729-6/99 4723-7/00 5611-2/04 5611-2/03 5611-2/05</t>
  </si>
  <si>
    <t>14-02/2026</t>
  </si>
  <si>
    <t>Marciana Pereira dos Santos</t>
  </si>
  <si>
    <t>Torefação da Marciana</t>
  </si>
  <si>
    <t>Zona Rural, Fazenda Urtiga</t>
  </si>
  <si>
    <t>4724-5/00 1081-3/02 4637-1/01 4637-1/99 4729-6/99</t>
  </si>
  <si>
    <t>06-04/2026</t>
  </si>
  <si>
    <t>Ronam de Andrade</t>
  </si>
  <si>
    <t>Torrefação do Ronam</t>
  </si>
  <si>
    <t>Rua Arildo Vilela Moscardini, 860</t>
  </si>
  <si>
    <t>1081-3/02</t>
  </si>
  <si>
    <t>08-10/2025</t>
  </si>
  <si>
    <t>Josiane Rodrigues Vieira</t>
  </si>
  <si>
    <t>Josiane Saúde</t>
  </si>
  <si>
    <t>Rua João Francisco, 225</t>
  </si>
  <si>
    <t>8650-0/99</t>
  </si>
  <si>
    <t>04-03/2026</t>
  </si>
  <si>
    <t>Alessandra Aparecida Dutra Barbosa</t>
  </si>
  <si>
    <t>Alessandra Manicure</t>
  </si>
  <si>
    <t>Rua Maria Clara de Oliveira, 77</t>
  </si>
  <si>
    <t>9602-5/01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</si>
</sst>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434343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/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2" fillId="2" fontId="2" numFmtId="0" xfId="0" applyAlignment="1" applyBorder="1" applyFont="1">
      <alignment horizontal="right" shrinkToFit="0" vertical="center" wrapText="1"/>
    </xf>
    <xf borderId="2" fillId="2" fontId="2" numFmtId="0" xfId="0" applyAlignment="1" applyBorder="1" applyFont="1">
      <alignment shrinkToFit="0" vertical="center" wrapText="1"/>
    </xf>
    <xf borderId="2" fillId="2" fontId="2" numFmtId="49" xfId="0" applyAlignment="1" applyBorder="1" applyFont="1" applyNumberFormat="1">
      <alignment shrinkToFit="0" vertical="center" wrapText="1"/>
    </xf>
    <xf borderId="2" fillId="2" fontId="2" numFmtId="164" xfId="0" applyAlignment="1" applyBorder="1" applyFont="1" applyNumberFormat="1">
      <alignment horizontal="right"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2" fillId="3" fontId="2" numFmtId="0" xfId="0" applyAlignment="1" applyBorder="1" applyFont="1">
      <alignment horizontal="right" shrinkToFit="0" vertical="center" wrapText="1"/>
    </xf>
    <xf borderId="2" fillId="3" fontId="2" numFmtId="0" xfId="0" applyAlignment="1" applyBorder="1" applyFont="1">
      <alignment shrinkToFit="0" vertical="center" wrapText="1"/>
    </xf>
    <xf borderId="2" fillId="3" fontId="2" numFmtId="49" xfId="0" applyAlignment="1" applyBorder="1" applyFont="1" applyNumberFormat="1">
      <alignment shrinkToFit="0" vertical="center" wrapText="1"/>
    </xf>
    <xf borderId="2" fillId="3" fontId="2" numFmtId="164" xfId="0" applyAlignment="1" applyBorder="1" applyFont="1" applyNumberFormat="1">
      <alignment horizontal="right" shrinkToFit="0" vertical="center" wrapText="1"/>
    </xf>
    <xf borderId="2" fillId="2" fontId="2" numFmtId="164" xfId="0" applyAlignment="1" applyBorder="1" applyFont="1" applyNumberFormat="1">
      <alignment horizontal="righ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3" displayName="Tabela_1" name="Tabela_1" id="1">
  <tableColumns count="8">
    <tableColumn name="Número Alvará/ dispensa" id="1"/>
    <tableColumn name="Nível de Risco" id="2"/>
    <tableColumn name="Nome do Responsável" id="3"/>
    <tableColumn name="Nome do Estabelecimento" id="4"/>
    <tableColumn name="Endereço" id="5"/>
    <tableColumn name="CNAEs" id="6"/>
    <tableColumn name="Data Alvará/ dispensa" id="7"/>
    <tableColumn name="Vencimento do alvará/ dispensa" id="8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2.5" customHeight="1">
      <c r="A2" s="3" t="s">
        <v>8</v>
      </c>
      <c r="B2" s="4">
        <v>2.0</v>
      </c>
      <c r="C2" s="5" t="s">
        <v>9</v>
      </c>
      <c r="D2" s="5" t="s">
        <v>10</v>
      </c>
      <c r="E2" s="5" t="s">
        <v>11</v>
      </c>
      <c r="F2" s="6" t="s">
        <v>12</v>
      </c>
      <c r="G2" s="7">
        <v>46044.0</v>
      </c>
      <c r="H2" s="7">
        <f t="shared" ref="H2:H13" si="1">IF(B2=1,"Dispensado de Alvará",DATE(YEAR(G2)+1,MONTH(G2),DAY(G2)))
</f>
        <v>46409</v>
      </c>
    </row>
    <row r="3" ht="22.5" customHeight="1">
      <c r="A3" s="8" t="s">
        <v>13</v>
      </c>
      <c r="B3" s="9">
        <v>2.0</v>
      </c>
      <c r="C3" s="10" t="s">
        <v>14</v>
      </c>
      <c r="D3" s="10" t="s">
        <v>15</v>
      </c>
      <c r="E3" s="10" t="s">
        <v>16</v>
      </c>
      <c r="F3" s="11" t="s">
        <v>17</v>
      </c>
      <c r="G3" s="12">
        <v>46079.0</v>
      </c>
      <c r="H3" s="12">
        <f t="shared" si="1"/>
        <v>46444</v>
      </c>
    </row>
    <row r="4" ht="22.5" customHeight="1">
      <c r="A4" s="3" t="s">
        <v>18</v>
      </c>
      <c r="B4" s="4">
        <v>2.0</v>
      </c>
      <c r="C4" s="5" t="s">
        <v>19</v>
      </c>
      <c r="D4" s="5" t="s">
        <v>20</v>
      </c>
      <c r="E4" s="5" t="s">
        <v>21</v>
      </c>
      <c r="F4" s="6" t="s">
        <v>22</v>
      </c>
      <c r="G4" s="13">
        <v>45874.0</v>
      </c>
      <c r="H4" s="7">
        <f t="shared" si="1"/>
        <v>46239</v>
      </c>
    </row>
    <row r="5" ht="22.5" customHeight="1">
      <c r="A5" s="8" t="s">
        <v>23</v>
      </c>
      <c r="B5" s="9">
        <v>2.0</v>
      </c>
      <c r="C5" s="10" t="s">
        <v>24</v>
      </c>
      <c r="D5" s="10" t="s">
        <v>25</v>
      </c>
      <c r="E5" s="10" t="s">
        <v>26</v>
      </c>
      <c r="F5" s="11" t="s">
        <v>27</v>
      </c>
      <c r="G5" s="12">
        <v>45876.0</v>
      </c>
      <c r="H5" s="12">
        <f t="shared" si="1"/>
        <v>46241</v>
      </c>
    </row>
    <row r="6" ht="22.5" customHeight="1">
      <c r="A6" s="3" t="s">
        <v>28</v>
      </c>
      <c r="B6" s="4">
        <v>2.0</v>
      </c>
      <c r="C6" s="5" t="s">
        <v>29</v>
      </c>
      <c r="D6" s="5" t="s">
        <v>30</v>
      </c>
      <c r="E6" s="5" t="s">
        <v>31</v>
      </c>
      <c r="F6" s="6" t="s">
        <v>32</v>
      </c>
      <c r="G6" s="7">
        <v>45776.0</v>
      </c>
      <c r="H6" s="7">
        <f t="shared" si="1"/>
        <v>46141</v>
      </c>
    </row>
    <row r="7" ht="22.5" customHeight="1">
      <c r="A7" s="8" t="s">
        <v>33</v>
      </c>
      <c r="B7" s="9">
        <v>2.0</v>
      </c>
      <c r="C7" s="10" t="s">
        <v>34</v>
      </c>
      <c r="D7" s="10" t="s">
        <v>35</v>
      </c>
      <c r="E7" s="10" t="s">
        <v>36</v>
      </c>
      <c r="F7" s="11" t="s">
        <v>37</v>
      </c>
      <c r="G7" s="12">
        <v>45873.0</v>
      </c>
      <c r="H7" s="12">
        <f t="shared" si="1"/>
        <v>46238</v>
      </c>
    </row>
    <row r="8" ht="22.5" customHeight="1">
      <c r="A8" s="3" t="s">
        <v>38</v>
      </c>
      <c r="B8" s="4">
        <v>2.0</v>
      </c>
      <c r="C8" s="5" t="s">
        <v>39</v>
      </c>
      <c r="D8" s="5" t="s">
        <v>40</v>
      </c>
      <c r="E8" s="5" t="s">
        <v>41</v>
      </c>
      <c r="F8" s="6" t="s">
        <v>42</v>
      </c>
      <c r="G8" s="7">
        <v>45924.0</v>
      </c>
      <c r="H8" s="7">
        <f t="shared" si="1"/>
        <v>46289</v>
      </c>
    </row>
    <row r="9" ht="22.5" customHeight="1">
      <c r="A9" s="8" t="s">
        <v>43</v>
      </c>
      <c r="B9" s="9">
        <v>2.0</v>
      </c>
      <c r="C9" s="10" t="s">
        <v>44</v>
      </c>
      <c r="D9" s="10" t="s">
        <v>45</v>
      </c>
      <c r="E9" s="10" t="s">
        <v>46</v>
      </c>
      <c r="F9" s="11" t="s">
        <v>47</v>
      </c>
      <c r="G9" s="12">
        <v>46057.0</v>
      </c>
      <c r="H9" s="12">
        <f t="shared" si="1"/>
        <v>46422</v>
      </c>
    </row>
    <row r="10" ht="22.5" customHeight="1">
      <c r="A10" s="3" t="s">
        <v>48</v>
      </c>
      <c r="B10" s="4">
        <v>2.0</v>
      </c>
      <c r="C10" s="5" t="s">
        <v>49</v>
      </c>
      <c r="D10" s="5" t="s">
        <v>50</v>
      </c>
      <c r="E10" s="5" t="s">
        <v>51</v>
      </c>
      <c r="F10" s="6" t="s">
        <v>52</v>
      </c>
      <c r="G10" s="7">
        <v>46078.0</v>
      </c>
      <c r="H10" s="7">
        <f t="shared" si="1"/>
        <v>46443</v>
      </c>
    </row>
    <row r="11" ht="22.5" customHeight="1">
      <c r="A11" s="8" t="s">
        <v>53</v>
      </c>
      <c r="B11" s="9">
        <v>2.0</v>
      </c>
      <c r="C11" s="10" t="s">
        <v>54</v>
      </c>
      <c r="D11" s="10" t="s">
        <v>55</v>
      </c>
      <c r="E11" s="10" t="s">
        <v>56</v>
      </c>
      <c r="F11" s="11" t="s">
        <v>57</v>
      </c>
      <c r="G11" s="12">
        <v>46135.0</v>
      </c>
      <c r="H11" s="12">
        <f t="shared" si="1"/>
        <v>46500</v>
      </c>
    </row>
    <row r="12" ht="22.5" customHeight="1">
      <c r="A12" s="3" t="s">
        <v>58</v>
      </c>
      <c r="B12" s="4">
        <v>3.0</v>
      </c>
      <c r="C12" s="5" t="s">
        <v>59</v>
      </c>
      <c r="D12" s="5" t="s">
        <v>60</v>
      </c>
      <c r="E12" s="5" t="s">
        <v>61</v>
      </c>
      <c r="F12" s="6" t="s">
        <v>62</v>
      </c>
      <c r="G12" s="7">
        <v>45947.0</v>
      </c>
      <c r="H12" s="7">
        <f t="shared" si="1"/>
        <v>46312</v>
      </c>
    </row>
    <row r="13" ht="22.5" customHeight="1">
      <c r="A13" s="8" t="s">
        <v>63</v>
      </c>
      <c r="B13" s="9">
        <v>2.0</v>
      </c>
      <c r="C13" s="10" t="s">
        <v>64</v>
      </c>
      <c r="D13" s="10" t="s">
        <v>65</v>
      </c>
      <c r="E13" s="10" t="s">
        <v>66</v>
      </c>
      <c r="F13" s="11" t="s">
        <v>67</v>
      </c>
      <c r="G13" s="12">
        <v>46098.0</v>
      </c>
      <c r="H13" s="12">
        <f t="shared" si="1"/>
        <v>46463</v>
      </c>
    </row>
  </sheetData>
  <dataValidations>
    <dataValidation type="custom" allowBlank="1" showDropDown="1" sqref="G2:H13">
      <formula1>OR(NOT(ISERROR(DATEVALUE(G2))), AND(ISNUMBER(G2), LEFT(CELL("format", G2))="D"))</formula1>
    </dataValidation>
  </dataValidations>
  <drawing r:id="rId1"/>
  <tableParts count="1">
    <tablePart r:id="rId3"/>
  </tableParts>
</worksheet>
</file>