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<sst xmlns="http://schemas.openxmlformats.org/spreadsheetml/2006/main" count="298" uniqueCount="282">
  <si>
    <t>Número Alvará/ dispensa</t>
  </si>
  <si>
    <t>Nível de Risco</t>
  </si>
  <si>
    <t>Nome do Responsável</t>
  </si>
  <si>
    <t>Nome do Estabelecimento</t>
  </si>
  <si>
    <t>Endereço</t>
  </si>
  <si>
    <t>CNAEs</t>
  </si>
  <si>
    <t>Data Alvará/ dispensa</t>
  </si>
  <si>
    <t>Vencimento do alvará/ dispensa</t>
  </si>
  <si>
    <t>11-10/2025</t>
  </si>
  <si>
    <t>Laís Correia Araújo</t>
  </si>
  <si>
    <t>Lanchonete House Burguer</t>
  </si>
  <si>
    <t>Avenida José Vilela da Costa, 325</t>
  </si>
  <si>
    <t>5611-2/03 4729-6/99 5320-2/02 5611-2/01 5611-2/04 5620-1/04</t>
  </si>
  <si>
    <t>06-10/2025</t>
  </si>
  <si>
    <t>Vitor Tadeu Alves de Jesus</t>
  </si>
  <si>
    <t>Sorveteria 4 Estações</t>
  </si>
  <si>
    <t>Avenida XV de Novembro, 565</t>
  </si>
  <si>
    <t>4729-6/99 5611-2/03</t>
  </si>
  <si>
    <t>08-02/2026</t>
  </si>
  <si>
    <t>Taíza Amanda Rodrigues</t>
  </si>
  <si>
    <t>Restaurante Porcolino Grill</t>
  </si>
  <si>
    <t>Avenida XV de Novembro, 1721</t>
  </si>
  <si>
    <t>5611-2/04 4722-9/01 5611-2/01 5611-2/03 5611-2/05 8211-3/00</t>
  </si>
  <si>
    <t>08-04/2025</t>
  </si>
  <si>
    <t>Wallison Fernando de Oliveira</t>
  </si>
  <si>
    <t>Sorveteria e Açaí</t>
  </si>
  <si>
    <t>Praça 7 de Setembro, 05</t>
  </si>
  <si>
    <t>5611-2/03</t>
  </si>
  <si>
    <t>10-10/2025</t>
  </si>
  <si>
    <t>Mateus Damasceno Oliveira</t>
  </si>
  <si>
    <t>Lanchonete Sabor na Chapa</t>
  </si>
  <si>
    <t>Praça Padre João Lourenço Leite, 212</t>
  </si>
  <si>
    <t>4723-7/00 4729-6/99 5611-2/01 5620-1/04</t>
  </si>
  <si>
    <t>09-01/2026</t>
  </si>
  <si>
    <t>Antônio Marcos Durval</t>
  </si>
  <si>
    <t>Padaria Pão e Cia</t>
  </si>
  <si>
    <t>Rua Aurea, 892</t>
  </si>
  <si>
    <t>5611-2/03 4723-7/00 4729-6/99 1091-1/02</t>
  </si>
  <si>
    <t>16-10/2025</t>
  </si>
  <si>
    <t>Luiz Henrique Pereira Sergio</t>
  </si>
  <si>
    <t>Lanchonete Mega Lanche</t>
  </si>
  <si>
    <t>Rua Boa Esperança, 156</t>
  </si>
  <si>
    <t>5611-2/03 5611-2/01 5611-2/04</t>
  </si>
  <si>
    <t>02-11/2025</t>
  </si>
  <si>
    <t>Claudio Cesar Vaneli</t>
  </si>
  <si>
    <t>Lanchonete Los Vaneli</t>
  </si>
  <si>
    <t>Rua Boa Esperança, 526</t>
  </si>
  <si>
    <t>5611-2/03 4729-6/99 5611-2/01 5611-2/04</t>
  </si>
  <si>
    <t>24-07/2025</t>
  </si>
  <si>
    <t>Neimar Pereira Guedes</t>
  </si>
  <si>
    <t>Pães e Bolos Central</t>
  </si>
  <si>
    <t>Rua Direita, 72</t>
  </si>
  <si>
    <t>1053-8/00</t>
  </si>
  <si>
    <t>17-08/2025</t>
  </si>
  <si>
    <t>Ricardo Alberto Fernandes</t>
  </si>
  <si>
    <t>Padaria do Ricardo</t>
  </si>
  <si>
    <t>Rua do Comércio, 306</t>
  </si>
  <si>
    <t>4721-1/02 4712-1/00 4789-0/99</t>
  </si>
  <si>
    <t>11-04/2025</t>
  </si>
  <si>
    <t>Amanda Dias</t>
  </si>
  <si>
    <t>Sorveteria Ponto 265</t>
  </si>
  <si>
    <t>Rua do Comércio, 50</t>
  </si>
  <si>
    <t>4729-6/99</t>
  </si>
  <si>
    <t>05-09/2025</t>
  </si>
  <si>
    <t>Ana Luiza Alves Teixeira</t>
  </si>
  <si>
    <t>Cantinho do Açaí</t>
  </si>
  <si>
    <t>Rua do Comércio, 589</t>
  </si>
  <si>
    <t>4729-6/99 5611-2/03 5611-2/04</t>
  </si>
  <si>
    <t>21-07/2025</t>
  </si>
  <si>
    <t>Odilon Rodrigues de Oliveira</t>
  </si>
  <si>
    <t>Atividade de Estética</t>
  </si>
  <si>
    <t>Rua Paraíba, 370</t>
  </si>
  <si>
    <t>9602-5/02</t>
  </si>
  <si>
    <t>04-11/2025</t>
  </si>
  <si>
    <t>Ana Paula Alves de Assis</t>
  </si>
  <si>
    <t>Lanchonete Espaço Burguer</t>
  </si>
  <si>
    <t>Rua Sebastião Cardoso, 71</t>
  </si>
  <si>
    <t>5611-2/03 5620-1/04 4723-7/00 1033-3/01 4729-6/99 4721-1/02 1091-1/01</t>
  </si>
  <si>
    <t>02-12/2025</t>
  </si>
  <si>
    <t>Roberto Antônio de Lima</t>
  </si>
  <si>
    <t>Bar do Baiano</t>
  </si>
  <si>
    <t>Rua Vanilton Vilela de Faria, 242</t>
  </si>
  <si>
    <t>5611-2/04 4723-7/00 4929-6/01</t>
  </si>
  <si>
    <t>10-04/2025</t>
  </si>
  <si>
    <t>Cleudes Oswaldo de Souza</t>
  </si>
  <si>
    <t>Sorveteria Fino Sabor</t>
  </si>
  <si>
    <t>Rua do Comercio, 50</t>
  </si>
  <si>
    <t>07/04-2025</t>
  </si>
  <si>
    <t>Maria de Fátima Olivera</t>
  </si>
  <si>
    <t>Padaria da Fatinha</t>
  </si>
  <si>
    <t>Rua Boa Esperança, 112</t>
  </si>
  <si>
    <t>1091-1/02</t>
  </si>
  <si>
    <t>06-04/2025</t>
  </si>
  <si>
    <t>Sueli de Andrade Alves</t>
  </si>
  <si>
    <t>Padaria da Sueli</t>
  </si>
  <si>
    <t>Rua Brasil, 756</t>
  </si>
  <si>
    <t>17-07/2025</t>
  </si>
  <si>
    <t>Rafael Oliveira Damasceno</t>
  </si>
  <si>
    <t>Docê Hamburgueria e Confeitaria</t>
  </si>
  <si>
    <t>Rua Santa Catarina, 70</t>
  </si>
  <si>
    <t>5611-2/01</t>
  </si>
  <si>
    <t>18-07/2025</t>
  </si>
  <si>
    <t>Maikel Pereira Sergio</t>
  </si>
  <si>
    <t>Pastelaria Rei do Salgado</t>
  </si>
  <si>
    <t>Rua Direita, 81</t>
  </si>
  <si>
    <t>5611-203</t>
  </si>
  <si>
    <t>02-04/2025</t>
  </si>
  <si>
    <t>Lívia Aparecida de Souza</t>
  </si>
  <si>
    <t>Lanconete THE FRUIT</t>
  </si>
  <si>
    <t>Praça Padre João Lourenço Leite, 51, Loja 3</t>
  </si>
  <si>
    <t>04-02/2025</t>
  </si>
  <si>
    <t>Letícia Sabrino Francisco</t>
  </si>
  <si>
    <t>Mek Dog e Açaí</t>
  </si>
  <si>
    <t>Rua Joaquim Marciano de Carvalho</t>
  </si>
  <si>
    <t>01-04/2025</t>
  </si>
  <si>
    <t>Lanchonete P. Café da Praça</t>
  </si>
  <si>
    <t>Praça Padre João Lourenço Leite, 21A</t>
  </si>
  <si>
    <t>09-08/2025</t>
  </si>
  <si>
    <t>Christian Luis Gois de Melo</t>
  </si>
  <si>
    <t>Pastelaria do Christião</t>
  </si>
  <si>
    <t>Avenida José Vilela da Costa, 439</t>
  </si>
  <si>
    <t>01-05/2025</t>
  </si>
  <si>
    <t>Ailton Rodrigues da Cunha</t>
  </si>
  <si>
    <t>Trailer do Ailton</t>
  </si>
  <si>
    <t xml:space="preserve">Praça Padre João Lourenço Leite/ Parque João Alvarenga </t>
  </si>
  <si>
    <t>03-05/2026</t>
  </si>
  <si>
    <t>Maria Aparecida Alves</t>
  </si>
  <si>
    <t>Restaurante da Nenem</t>
  </si>
  <si>
    <t>Praça Padre João Loureço Leite, 15</t>
  </si>
  <si>
    <t>06-03/2025</t>
  </si>
  <si>
    <t>Gabriel Henrique da Cunha</t>
  </si>
  <si>
    <t>Distibuidora Conveniencia SM.</t>
  </si>
  <si>
    <t>Avenida Jose Vilela da Costa, 204</t>
  </si>
  <si>
    <t>4723-7/00</t>
  </si>
  <si>
    <t>15-08/2025</t>
  </si>
  <si>
    <t>Pedro Domiciano Vieira</t>
  </si>
  <si>
    <t>Pedro do Zeca</t>
  </si>
  <si>
    <t>Rua do Comércio, 530</t>
  </si>
  <si>
    <t>4712-1/00</t>
  </si>
  <si>
    <t>12-02/2026</t>
  </si>
  <si>
    <t>Rosilene Júlia Vilela</t>
  </si>
  <si>
    <t>Bar da Rosy</t>
  </si>
  <si>
    <t>Rua Maranhão, 182</t>
  </si>
  <si>
    <t>5611-2/04 4722-9/02 5611-2/05</t>
  </si>
  <si>
    <t>16-02/2026</t>
  </si>
  <si>
    <t>Rosimeire Aparecida da Costa</t>
  </si>
  <si>
    <t>Bar do Beto</t>
  </si>
  <si>
    <t>Rua do Comércio, 272</t>
  </si>
  <si>
    <t>5620-1/04 4723-7/00 4721-1/02 5611-2/01 5611-2/03 5611-2/05</t>
  </si>
  <si>
    <t>15-02/2026</t>
  </si>
  <si>
    <t>Maria Luiza Montanine</t>
  </si>
  <si>
    <t>Bar Recanto da Lagoa</t>
  </si>
  <si>
    <t>4712-1/00 5611-2/01 5611-2/03 5611-2/05</t>
  </si>
  <si>
    <t>07-09/2025</t>
  </si>
  <si>
    <t>Rone Marcos Alves</t>
  </si>
  <si>
    <t>Bar do Rone</t>
  </si>
  <si>
    <t>Avenida José Vilela da Costa, 211</t>
  </si>
  <si>
    <t>5611-2/05 4723-7/00 4729-6/01 4729-6/99  5611-2/04 5611-2/03</t>
  </si>
  <si>
    <t>12-10/2025</t>
  </si>
  <si>
    <t>Dayvison Wallas Claudino</t>
  </si>
  <si>
    <t>Adega DAYVISON WALLAS CLAUDINO (Distribuidora DJ)</t>
  </si>
  <si>
    <t>Rua Brasil, 08</t>
  </si>
  <si>
    <t>4723-7/00 4789-0/99 5611-2/04</t>
  </si>
  <si>
    <t>08-09/2025</t>
  </si>
  <si>
    <t>José Marcio dos Santos</t>
  </si>
  <si>
    <t>Bar do José Marcio</t>
  </si>
  <si>
    <t>Rua Querubino Vilela Moscardini, 245</t>
  </si>
  <si>
    <t>5611-2/05 4723-7/00 4729-6/01 5611-2/04 4729-6/99</t>
  </si>
  <si>
    <t>09-11/2025</t>
  </si>
  <si>
    <t>Fabricio Faria de Oliveira</t>
  </si>
  <si>
    <t>KAROLAINE APARECIDA CASSIANO OLIVEIRA (Mascote)</t>
  </si>
  <si>
    <t>Rua Brasil, 407</t>
  </si>
  <si>
    <t>05-11/2025</t>
  </si>
  <si>
    <t>Marciel Antônio da Silva</t>
  </si>
  <si>
    <t>BAR E PETISCARIA DO MARCIEL LTDA</t>
  </si>
  <si>
    <t>Rua Vanilton Vilela de Faria, 292</t>
  </si>
  <si>
    <t>5611-2/05 4723-7/00 5611-2/01 5611-2/03 5611-2/04 7319-0/99 8230-0/01 8230-0/02</t>
  </si>
  <si>
    <t>10-11/2025</t>
  </si>
  <si>
    <t>Ricardo Luiz Pereira Sergio</t>
  </si>
  <si>
    <t>Kspetos Bar - Ricardo do Espeto</t>
  </si>
  <si>
    <t>Avenida XV de Novembro, 1240</t>
  </si>
  <si>
    <t>5611-2/04 4723-7/00 5611-2/01 5611-2/03</t>
  </si>
  <si>
    <t>04-12/2025</t>
  </si>
  <si>
    <t>Antônio Roberto de Andrade Junior</t>
  </si>
  <si>
    <t>Adega do Juninho do Beto</t>
  </si>
  <si>
    <t>Rua Santa Catarina, 22</t>
  </si>
  <si>
    <t>5611-2/04 5320-2/02 4729-6/01 5611-2/03 5611-2/05</t>
  </si>
  <si>
    <t>08-11/2025</t>
  </si>
  <si>
    <t>Larissa Bernardes de Oliveira</t>
  </si>
  <si>
    <t>Bar Chalé da XV</t>
  </si>
  <si>
    <t>Avenida XV de Novembro, 1457</t>
  </si>
  <si>
    <t>5611-2/05 4712-1/00 4723-7/00 5611-2/03 5611-2/04</t>
  </si>
  <si>
    <t>03-11/2025</t>
  </si>
  <si>
    <t>João Paulo Lucarini Bueno</t>
  </si>
  <si>
    <t>Bar Morada Caipira</t>
  </si>
  <si>
    <t>Rua Vanilton Vilela de Faria, 302</t>
  </si>
  <si>
    <t>4723-7/00 5620-1/04 4789-0/99 4729-6/01 4721-1/03 4729-6/99 5612-1/00 4724-5/00 4721-1/02 4772-5/00 4789-0/04 4789-0/05</t>
  </si>
  <si>
    <t>01-06/2025</t>
  </si>
  <si>
    <t>Henrique Vilela Amaral</t>
  </si>
  <si>
    <t>Henrique Polpa de frutas</t>
  </si>
  <si>
    <t>Rua Doze de Outubro, 371</t>
  </si>
  <si>
    <t>1031-7/00</t>
  </si>
  <si>
    <t>15-02/2025</t>
  </si>
  <si>
    <t>Jaqueline Dayane da Silva CRF/MG31.695</t>
  </si>
  <si>
    <t>Droga Dias Ltda. Rede Mais Minas (Matriz)</t>
  </si>
  <si>
    <t>Avenida José Vilela da Costa, 514</t>
  </si>
  <si>
    <t>4771-7/01</t>
  </si>
  <si>
    <t>06-03/2026</t>
  </si>
  <si>
    <t>Maysa Figueiredo Mendes Fonseca</t>
  </si>
  <si>
    <t>Drogaria Minas Master (Matriz)</t>
  </si>
  <si>
    <t>Rua Do Comércio, 111</t>
  </si>
  <si>
    <t>4771-7/01-02</t>
  </si>
  <si>
    <t>07-03/2026</t>
  </si>
  <si>
    <t>Marilia Ranieli de Sousa</t>
  </si>
  <si>
    <t>Drogaria Nossa Senhora Aparecida</t>
  </si>
  <si>
    <t>Rua Boa Esperança, 788</t>
  </si>
  <si>
    <t>10-03/2026</t>
  </si>
  <si>
    <t>Alisson Oliveira Guedes</t>
  </si>
  <si>
    <t>Drogaria Nossa Senhora Aparecida (Filial)</t>
  </si>
  <si>
    <t>Rua Francisco de Ouro, 90</t>
  </si>
  <si>
    <t>03-06/2025</t>
  </si>
  <si>
    <t>Otávio Henrique Rezende A.</t>
  </si>
  <si>
    <t>Droga 100</t>
  </si>
  <si>
    <t>Rua Comércio, 855</t>
  </si>
  <si>
    <t>02-04/2026</t>
  </si>
  <si>
    <t>Otávio Junqueira Silva</t>
  </si>
  <si>
    <t>Drogaria Minas Super Farma</t>
  </si>
  <si>
    <t>Avenida 15 de Novembro, 300</t>
  </si>
  <si>
    <t>04-02/2026</t>
  </si>
  <si>
    <t>Daine Aparecida Lima</t>
  </si>
  <si>
    <t>Drogaria Dias - ME (Filial)</t>
  </si>
  <si>
    <t>Praça Sete de Setembro, 50</t>
  </si>
  <si>
    <t>4471-7/01</t>
  </si>
  <si>
    <t>08-07/2025</t>
  </si>
  <si>
    <t>Querem Danielle Rocha Assis</t>
  </si>
  <si>
    <t>Ar Essence Espaço Integrado</t>
  </si>
  <si>
    <t>Avenida José Vilela da Costa, 980 - Cidade Nova</t>
  </si>
  <si>
    <t>8650-0/04</t>
  </si>
  <si>
    <t>03-04/2025</t>
  </si>
  <si>
    <t>Neidson Cristiani</t>
  </si>
  <si>
    <t>Clube Social Ilicinense</t>
  </si>
  <si>
    <t>Rua Edson Bernardesa Vilela, 301</t>
  </si>
  <si>
    <t>9312-3/00</t>
  </si>
  <si>
    <t>15-07/2025</t>
  </si>
  <si>
    <t>Eandra Brunielli Oliveira Barbosa</t>
  </si>
  <si>
    <t>Vita Care Serviços em Saúde</t>
  </si>
  <si>
    <t>Rua Dois de Novembro, 30 - Centro</t>
  </si>
  <si>
    <t>8610-1/02</t>
  </si>
  <si>
    <t>15-10/2025</t>
  </si>
  <si>
    <t>Joyce Maria Leopoldino</t>
  </si>
  <si>
    <t xml:space="preserve">JOYCE MARIA LEOPOLDINO (Banho e tosa) </t>
  </si>
  <si>
    <t>Rua Áurea, 417</t>
  </si>
  <si>
    <t>9609-2/08</t>
  </si>
  <si>
    <t>22-07/2025</t>
  </si>
  <si>
    <t>Patrícia Magalhães</t>
  </si>
  <si>
    <t>Patricciah M Studio Personal</t>
  </si>
  <si>
    <t>Rua 12 de Outúbro, 44 - Centro</t>
  </si>
  <si>
    <t>9313-1/00</t>
  </si>
  <si>
    <t>02-05/2025</t>
  </si>
  <si>
    <t>Izabel Aparecida Oliveira</t>
  </si>
  <si>
    <t>Escola Municiapal Maria Elma Firmino</t>
  </si>
  <si>
    <t>Praça do Rosario, S/N</t>
  </si>
  <si>
    <t>8512-1/00 8513-9/00</t>
  </si>
  <si>
    <t>04-05/2026</t>
  </si>
  <si>
    <t>Deira Aparecida de Oliveira Ferreira</t>
  </si>
  <si>
    <t>Escola Municipal Neiva Maria Mendes</t>
  </si>
  <si>
    <t>Rua Aurea, 448</t>
  </si>
  <si>
    <t>8513-9/00</t>
  </si>
  <si>
    <t>09-03/2026</t>
  </si>
  <si>
    <t>Silvia Helena de Lima</t>
  </si>
  <si>
    <t>Creche Cemei Luriane Rosalves Ribeiro</t>
  </si>
  <si>
    <t>Rua Querubino Vilela Moscardini, 210</t>
  </si>
  <si>
    <t>8411-2/00</t>
  </si>
  <si>
    <t>01-05/2026</t>
  </si>
  <si>
    <t>Adriana Luiza</t>
  </si>
  <si>
    <t>Escola Estadual Nossa Senhora Aparecida</t>
  </si>
  <si>
    <t>Rua Doze de Outúbro, 198</t>
  </si>
  <si>
    <t>01-04/2026</t>
  </si>
  <si>
    <t>Igor Ferreira Botto</t>
  </si>
  <si>
    <t>Clínica Revigore Centro Médico e Exames LTDA</t>
  </si>
  <si>
    <t>Rua Paraná, 97</t>
  </si>
  <si>
    <t>8630-5/03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</si>
</sst>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ont="1">
      <alignment horizontal="right" readingOrder="0"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2" fillId="2" fontId="1" numFmtId="49" xfId="0" applyAlignment="1" applyBorder="1" applyFont="1" applyNumberFormat="1">
      <alignment readingOrder="0" shrinkToFit="0" vertical="center" wrapText="1"/>
    </xf>
    <xf borderId="2" fillId="2" fontId="1" numFmtId="164" xfId="0" applyAlignment="1" applyBorder="1" applyFont="1" applyNumberFormat="1">
      <alignment horizontal="right" readingOrder="0" shrinkToFit="0" vertical="center" wrapText="0"/>
    </xf>
    <xf borderId="2" fillId="2" fontId="1" numFmtId="164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2" fillId="3" fontId="1" numFmtId="0" xfId="0" applyAlignment="1" applyBorder="1" applyFont="1">
      <alignment horizontal="right" readingOrder="0" shrinkToFit="0" vertical="center" wrapText="1"/>
    </xf>
    <xf borderId="2" fillId="3" fontId="1" numFmtId="0" xfId="0" applyAlignment="1" applyBorder="1" applyFont="1">
      <alignment readingOrder="0" shrinkToFit="0" vertical="center" wrapText="1"/>
    </xf>
    <xf borderId="2" fillId="3" fontId="1" numFmtId="49" xfId="0" applyAlignment="1" applyBorder="1" applyFont="1" applyNumberFormat="1">
      <alignment readingOrder="0" shrinkToFit="0" vertical="center" wrapText="1"/>
    </xf>
    <xf borderId="2" fillId="3" fontId="1" numFmtId="164" xfId="0" applyAlignment="1" applyBorder="1" applyFont="1" applyNumberFormat="1">
      <alignment readingOrder="0" shrinkToFit="0" vertical="center" wrapText="1"/>
    </xf>
    <xf borderId="2" fillId="3" fontId="1" numFmtId="164" xfId="0" applyAlignment="1" applyBorder="1" applyFont="1" applyNumberFormat="1">
      <alignment horizontal="right" shrinkToFit="0" vertical="center" wrapText="1"/>
    </xf>
    <xf borderId="2" fillId="2" fontId="1" numFmtId="164" xfId="0" applyAlignment="1" applyBorder="1" applyFont="1" applyNumberFormat="1">
      <alignment horizontal="right" readingOrder="0" shrinkToFit="0" vertical="center" wrapText="1"/>
    </xf>
    <xf borderId="2" fillId="3" fontId="1" numFmtId="164" xfId="0" applyAlignment="1" applyBorder="1" applyFont="1" applyNumberFormat="1">
      <alignment horizontal="right" readingOrder="0" shrinkToFit="0" vertical="center" wrapText="0"/>
    </xf>
    <xf borderId="2" fillId="3" fontId="1" numFmtId="0" xfId="0" applyAlignment="1" applyBorder="1" applyFont="1">
      <alignment readingOrder="0" shrinkToFit="0" vertical="center" wrapText="0"/>
    </xf>
    <xf borderId="2" fillId="3" fontId="1" numFmtId="0" xfId="0" applyAlignment="1" applyBorder="1" applyFont="1">
      <alignment shrinkToFit="0" vertical="center" wrapText="1"/>
    </xf>
    <xf borderId="2" fillId="3" fontId="1" numFmtId="0" xfId="0" applyAlignment="1" applyBorder="1" applyFont="1">
      <alignment shrinkToFit="0" vertical="center" wrapText="1"/>
    </xf>
    <xf borderId="2" fillId="3" fontId="1" numFmtId="164" xfId="0" applyAlignment="1" applyBorder="1" applyFont="1" applyNumberFormat="1">
      <alignment horizontal="right" readingOrder="0" shrinkToFit="0" vertical="center" wrapText="1"/>
    </xf>
    <xf borderId="1" fillId="3" fontId="1" numFmtId="0" xfId="0" applyAlignment="1" applyBorder="1" applyFont="1">
      <alignment readingOrder="0" shrinkToFit="0" vertical="center" wrapText="0"/>
    </xf>
    <xf borderId="2" fillId="3" fontId="1" numFmtId="49" xfId="0" applyAlignment="1" applyBorder="1" applyFont="1" applyNumberForma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right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49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2" fillId="3" fontId="1" numFmtId="0" xfId="0" applyAlignment="1" applyBorder="1" applyFont="1">
      <alignment horizontal="right" shrinkToFit="0" vertical="center" wrapText="1"/>
    </xf>
    <xf borderId="2" fillId="3" fontId="1" numFmtId="164" xfId="0" applyAlignment="1" applyBorder="1" applyFont="1" applyNumberFormat="1">
      <alignment horizontal="right" shrinkToFit="0" vertical="center" wrapText="0"/>
    </xf>
    <xf borderId="2" fillId="2" fontId="1" numFmtId="164" xfId="0" applyAlignment="1" applyBorder="1" applyFont="1" applyNumberFormat="1">
      <alignment horizontal="right" shrinkToFit="0" vertical="center" wrapText="0"/>
    </xf>
    <xf borderId="2" fillId="3" fontId="1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horizontal="right" shrinkToFit="0" vertical="center" wrapText="1"/>
    </xf>
    <xf borderId="2" fillId="3" fontId="1" numFmtId="16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6" displayName="Tabela_1" name="Tabela_1" id="1">
  <tableColumns count="8">
    <tableColumn name="Número Alvará/ dispensa" id="1"/>
    <tableColumn name="Nível de Risco" id="2"/>
    <tableColumn name="Nome do Responsável" id="3"/>
    <tableColumn name="Nome do Estabelecimento" id="4"/>
    <tableColumn name="Endereço" id="5"/>
    <tableColumn name="CNAEs" id="6"/>
    <tableColumn name="Data Alvará/ dispensa" id="7"/>
    <tableColumn name="Vencimento do alvará/ dispensa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0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>
        <v>2.0</v>
      </c>
      <c r="C2" s="5" t="s">
        <v>9</v>
      </c>
      <c r="D2" s="5" t="s">
        <v>10</v>
      </c>
      <c r="E2" s="5" t="s">
        <v>11</v>
      </c>
      <c r="F2" s="6" t="s">
        <v>12</v>
      </c>
      <c r="G2" s="7">
        <v>45950.0</v>
      </c>
      <c r="H2" s="8">
        <f t="shared" ref="H2:H59" si="1">IF(B2=1,"Dispensado de Alvará",DATE(YEAR(G2)+1,MONTH(G2),DAY(G2)))
</f>
        <v>46315</v>
      </c>
    </row>
    <row r="3" ht="22.5" customHeight="1">
      <c r="A3" s="9" t="s">
        <v>13</v>
      </c>
      <c r="B3" s="10">
        <v>2.0</v>
      </c>
      <c r="C3" s="11" t="s">
        <v>14</v>
      </c>
      <c r="D3" s="11" t="s">
        <v>15</v>
      </c>
      <c r="E3" s="11" t="s">
        <v>16</v>
      </c>
      <c r="F3" s="12" t="s">
        <v>17</v>
      </c>
      <c r="G3" s="13">
        <v>45946.0</v>
      </c>
      <c r="H3" s="14">
        <f t="shared" si="1"/>
        <v>46311</v>
      </c>
    </row>
    <row r="4" ht="22.5" customHeight="1">
      <c r="A4" s="3" t="s">
        <v>18</v>
      </c>
      <c r="B4" s="5">
        <v>2.0</v>
      </c>
      <c r="C4" s="5" t="s">
        <v>19</v>
      </c>
      <c r="D4" s="5" t="s">
        <v>20</v>
      </c>
      <c r="E4" s="5" t="s">
        <v>21</v>
      </c>
      <c r="F4" s="5" t="s">
        <v>22</v>
      </c>
      <c r="G4" s="15">
        <v>46064.0</v>
      </c>
      <c r="H4" s="8">
        <f t="shared" si="1"/>
        <v>46429</v>
      </c>
    </row>
    <row r="5" ht="22.5" customHeight="1">
      <c r="A5" s="9" t="s">
        <v>23</v>
      </c>
      <c r="B5" s="10">
        <v>2.0</v>
      </c>
      <c r="C5" s="11" t="s">
        <v>24</v>
      </c>
      <c r="D5" s="11" t="s">
        <v>25</v>
      </c>
      <c r="E5" s="11" t="s">
        <v>26</v>
      </c>
      <c r="F5" s="12" t="s">
        <v>27</v>
      </c>
      <c r="G5" s="13">
        <v>45769.0</v>
      </c>
      <c r="H5" s="14">
        <f t="shared" si="1"/>
        <v>46134</v>
      </c>
    </row>
    <row r="6" ht="22.5" customHeight="1">
      <c r="A6" s="3" t="s">
        <v>28</v>
      </c>
      <c r="B6" s="5">
        <v>2.0</v>
      </c>
      <c r="C6" s="5" t="s">
        <v>29</v>
      </c>
      <c r="D6" s="5" t="s">
        <v>30</v>
      </c>
      <c r="E6" s="5" t="s">
        <v>31</v>
      </c>
      <c r="F6" s="5" t="s">
        <v>32</v>
      </c>
      <c r="G6" s="15">
        <v>45945.0</v>
      </c>
      <c r="H6" s="8">
        <f t="shared" si="1"/>
        <v>46310</v>
      </c>
    </row>
    <row r="7" ht="22.5" customHeight="1">
      <c r="A7" s="9" t="s">
        <v>33</v>
      </c>
      <c r="B7" s="10">
        <v>2.0</v>
      </c>
      <c r="C7" s="11" t="s">
        <v>34</v>
      </c>
      <c r="D7" s="11" t="s">
        <v>35</v>
      </c>
      <c r="E7" s="11" t="s">
        <v>36</v>
      </c>
      <c r="F7" s="12" t="s">
        <v>37</v>
      </c>
      <c r="G7" s="13">
        <v>46051.0</v>
      </c>
      <c r="H7" s="14">
        <f t="shared" si="1"/>
        <v>46416</v>
      </c>
    </row>
    <row r="8" ht="22.5" customHeight="1">
      <c r="A8" s="9" t="s">
        <v>38</v>
      </c>
      <c r="B8" s="10">
        <v>2.0</v>
      </c>
      <c r="C8" s="11" t="s">
        <v>39</v>
      </c>
      <c r="D8" s="11" t="s">
        <v>40</v>
      </c>
      <c r="E8" s="11" t="s">
        <v>41</v>
      </c>
      <c r="F8" s="12" t="s">
        <v>42</v>
      </c>
      <c r="G8" s="13">
        <v>45961.0</v>
      </c>
      <c r="H8" s="14">
        <f t="shared" si="1"/>
        <v>46326</v>
      </c>
    </row>
    <row r="9" ht="22.5" customHeight="1">
      <c r="A9" s="3" t="s">
        <v>43</v>
      </c>
      <c r="B9" s="5">
        <v>2.0</v>
      </c>
      <c r="C9" s="5" t="s">
        <v>44</v>
      </c>
      <c r="D9" s="5" t="s">
        <v>45</v>
      </c>
      <c r="E9" s="5" t="s">
        <v>46</v>
      </c>
      <c r="F9" s="5" t="s">
        <v>47</v>
      </c>
      <c r="G9" s="15">
        <v>45964.0</v>
      </c>
      <c r="H9" s="8">
        <f t="shared" si="1"/>
        <v>46329</v>
      </c>
    </row>
    <row r="10" ht="22.5" customHeight="1">
      <c r="A10" s="9" t="s">
        <v>48</v>
      </c>
      <c r="B10" s="10">
        <v>2.0</v>
      </c>
      <c r="C10" s="11" t="s">
        <v>49</v>
      </c>
      <c r="D10" s="11" t="s">
        <v>50</v>
      </c>
      <c r="E10" s="11" t="s">
        <v>51</v>
      </c>
      <c r="F10" s="12" t="s">
        <v>52</v>
      </c>
      <c r="G10" s="13">
        <v>45863.0</v>
      </c>
      <c r="H10" s="14">
        <f t="shared" si="1"/>
        <v>46228</v>
      </c>
    </row>
    <row r="11" ht="22.5" customHeight="1">
      <c r="A11" s="9" t="s">
        <v>53</v>
      </c>
      <c r="B11" s="10">
        <v>2.0</v>
      </c>
      <c r="C11" s="11" t="s">
        <v>54</v>
      </c>
      <c r="D11" s="11" t="s">
        <v>55</v>
      </c>
      <c r="E11" s="11" t="s">
        <v>56</v>
      </c>
      <c r="F11" s="12" t="s">
        <v>57</v>
      </c>
      <c r="G11" s="16">
        <v>45894.0</v>
      </c>
      <c r="H11" s="14">
        <f t="shared" si="1"/>
        <v>46259</v>
      </c>
    </row>
    <row r="12" ht="22.5" customHeight="1">
      <c r="A12" s="3" t="s">
        <v>58</v>
      </c>
      <c r="B12" s="5">
        <v>2.0</v>
      </c>
      <c r="C12" s="5" t="s">
        <v>59</v>
      </c>
      <c r="D12" s="5" t="s">
        <v>60</v>
      </c>
      <c r="E12" s="5" t="s">
        <v>61</v>
      </c>
      <c r="F12" s="5" t="s">
        <v>62</v>
      </c>
      <c r="G12" s="15">
        <v>45769.0</v>
      </c>
      <c r="H12" s="8">
        <f t="shared" si="1"/>
        <v>46134</v>
      </c>
    </row>
    <row r="13" ht="22.5" customHeight="1">
      <c r="A13" s="3" t="s">
        <v>63</v>
      </c>
      <c r="B13" s="5">
        <v>2.0</v>
      </c>
      <c r="C13" s="5" t="s">
        <v>64</v>
      </c>
      <c r="D13" s="5" t="s">
        <v>65</v>
      </c>
      <c r="E13" s="5" t="s">
        <v>66</v>
      </c>
      <c r="F13" s="5" t="s">
        <v>67</v>
      </c>
      <c r="G13" s="15">
        <v>45915.0</v>
      </c>
      <c r="H13" s="8">
        <f t="shared" si="1"/>
        <v>46280</v>
      </c>
    </row>
    <row r="14" ht="22.5" customHeight="1">
      <c r="A14" s="9" t="s">
        <v>68</v>
      </c>
      <c r="B14" s="10">
        <v>3.0</v>
      </c>
      <c r="C14" s="11" t="s">
        <v>69</v>
      </c>
      <c r="D14" s="11" t="s">
        <v>70</v>
      </c>
      <c r="E14" s="11" t="s">
        <v>71</v>
      </c>
      <c r="F14" s="12" t="s">
        <v>72</v>
      </c>
      <c r="G14" s="13">
        <v>45861.0</v>
      </c>
      <c r="H14" s="14">
        <f t="shared" si="1"/>
        <v>46226</v>
      </c>
    </row>
    <row r="15" ht="22.5" customHeight="1">
      <c r="A15" s="3" t="s">
        <v>73</v>
      </c>
      <c r="B15" s="5">
        <v>2.0</v>
      </c>
      <c r="C15" s="5" t="s">
        <v>74</v>
      </c>
      <c r="D15" s="5" t="s">
        <v>75</v>
      </c>
      <c r="E15" s="5" t="s">
        <v>76</v>
      </c>
      <c r="F15" s="5" t="s">
        <v>77</v>
      </c>
      <c r="G15" s="15">
        <v>45972.0</v>
      </c>
      <c r="H15" s="8">
        <f t="shared" si="1"/>
        <v>46337</v>
      </c>
    </row>
    <row r="16" ht="22.5" customHeight="1">
      <c r="A16" s="3" t="s">
        <v>78</v>
      </c>
      <c r="B16" s="5">
        <v>2.0</v>
      </c>
      <c r="C16" s="5" t="s">
        <v>79</v>
      </c>
      <c r="D16" s="5" t="s">
        <v>80</v>
      </c>
      <c r="E16" s="5" t="s">
        <v>81</v>
      </c>
      <c r="F16" s="5" t="s">
        <v>82</v>
      </c>
      <c r="G16" s="15">
        <v>46007.0</v>
      </c>
      <c r="H16" s="8">
        <f t="shared" si="1"/>
        <v>46372</v>
      </c>
    </row>
    <row r="17" ht="22.5" customHeight="1">
      <c r="A17" s="9" t="s">
        <v>83</v>
      </c>
      <c r="B17" s="10">
        <v>2.0</v>
      </c>
      <c r="C17" s="11" t="s">
        <v>84</v>
      </c>
      <c r="D17" s="11" t="s">
        <v>85</v>
      </c>
      <c r="E17" s="11" t="s">
        <v>86</v>
      </c>
      <c r="F17" s="12" t="s">
        <v>62</v>
      </c>
      <c r="G17" s="13">
        <v>45769.0</v>
      </c>
      <c r="H17" s="14">
        <f t="shared" si="1"/>
        <v>46134</v>
      </c>
    </row>
    <row r="18" ht="22.5" customHeight="1">
      <c r="A18" s="3" t="s">
        <v>87</v>
      </c>
      <c r="B18" s="5">
        <v>2.0</v>
      </c>
      <c r="C18" s="5" t="s">
        <v>88</v>
      </c>
      <c r="D18" s="5" t="s">
        <v>89</v>
      </c>
      <c r="E18" s="5" t="s">
        <v>90</v>
      </c>
      <c r="F18" s="5" t="s">
        <v>91</v>
      </c>
      <c r="G18" s="15">
        <v>45757.0</v>
      </c>
      <c r="H18" s="8">
        <f t="shared" si="1"/>
        <v>46122</v>
      </c>
    </row>
    <row r="19" ht="22.5" customHeight="1">
      <c r="A19" s="9" t="s">
        <v>92</v>
      </c>
      <c r="B19" s="10">
        <v>2.0</v>
      </c>
      <c r="C19" s="11" t="s">
        <v>93</v>
      </c>
      <c r="D19" s="11" t="s">
        <v>94</v>
      </c>
      <c r="E19" s="11" t="s">
        <v>95</v>
      </c>
      <c r="F19" s="12" t="s">
        <v>91</v>
      </c>
      <c r="G19" s="13">
        <v>45757.0</v>
      </c>
      <c r="H19" s="14">
        <f t="shared" si="1"/>
        <v>46122</v>
      </c>
    </row>
    <row r="20" ht="22.5" customHeight="1">
      <c r="A20" s="3" t="s">
        <v>96</v>
      </c>
      <c r="B20" s="5">
        <v>2.0</v>
      </c>
      <c r="C20" s="5" t="s">
        <v>97</v>
      </c>
      <c r="D20" s="5" t="s">
        <v>98</v>
      </c>
      <c r="E20" s="5" t="s">
        <v>99</v>
      </c>
      <c r="F20" s="5" t="s">
        <v>100</v>
      </c>
      <c r="G20" s="15">
        <v>45856.0</v>
      </c>
      <c r="H20" s="8">
        <f t="shared" si="1"/>
        <v>46221</v>
      </c>
    </row>
    <row r="21" ht="22.5" customHeight="1">
      <c r="A21" s="9" t="s">
        <v>101</v>
      </c>
      <c r="B21" s="10">
        <v>2.0</v>
      </c>
      <c r="C21" s="11" t="s">
        <v>102</v>
      </c>
      <c r="D21" s="11" t="s">
        <v>103</v>
      </c>
      <c r="E21" s="11" t="s">
        <v>104</v>
      </c>
      <c r="F21" s="12" t="s">
        <v>105</v>
      </c>
      <c r="G21" s="13">
        <v>45856.0</v>
      </c>
      <c r="H21" s="14">
        <f t="shared" si="1"/>
        <v>46221</v>
      </c>
    </row>
    <row r="22" ht="22.5" customHeight="1">
      <c r="A22" s="3" t="s">
        <v>106</v>
      </c>
      <c r="B22" s="5">
        <v>2.0</v>
      </c>
      <c r="C22" s="5" t="s">
        <v>107</v>
      </c>
      <c r="D22" s="5" t="s">
        <v>108</v>
      </c>
      <c r="E22" s="5" t="s">
        <v>109</v>
      </c>
      <c r="F22" s="5" t="s">
        <v>27</v>
      </c>
      <c r="G22" s="15">
        <v>45748.0</v>
      </c>
      <c r="H22" s="8">
        <f t="shared" si="1"/>
        <v>46113</v>
      </c>
    </row>
    <row r="23" ht="22.5" customHeight="1">
      <c r="A23" s="9" t="s">
        <v>110</v>
      </c>
      <c r="B23" s="10">
        <v>2.0</v>
      </c>
      <c r="C23" s="11" t="s">
        <v>111</v>
      </c>
      <c r="D23" s="11" t="s">
        <v>112</v>
      </c>
      <c r="E23" s="11" t="s">
        <v>113</v>
      </c>
      <c r="F23" s="12" t="s">
        <v>27</v>
      </c>
      <c r="G23" s="13">
        <v>45692.0</v>
      </c>
      <c r="H23" s="14">
        <f t="shared" si="1"/>
        <v>46057</v>
      </c>
    </row>
    <row r="24" ht="22.5" customHeight="1">
      <c r="A24" s="3" t="s">
        <v>114</v>
      </c>
      <c r="B24" s="5">
        <v>2.0</v>
      </c>
      <c r="C24" s="5" t="s">
        <v>49</v>
      </c>
      <c r="D24" s="5" t="s">
        <v>115</v>
      </c>
      <c r="E24" s="5" t="s">
        <v>116</v>
      </c>
      <c r="F24" s="5" t="s">
        <v>27</v>
      </c>
      <c r="G24" s="15">
        <v>45748.0</v>
      </c>
      <c r="H24" s="8">
        <f t="shared" si="1"/>
        <v>46113</v>
      </c>
    </row>
    <row r="25" ht="22.5" customHeight="1">
      <c r="A25" s="3" t="s">
        <v>117</v>
      </c>
      <c r="B25" s="5">
        <v>2.0</v>
      </c>
      <c r="C25" s="5" t="s">
        <v>118</v>
      </c>
      <c r="D25" s="5" t="s">
        <v>119</v>
      </c>
      <c r="E25" s="5" t="s">
        <v>120</v>
      </c>
      <c r="F25" s="5" t="s">
        <v>27</v>
      </c>
      <c r="G25" s="15">
        <v>45876.0</v>
      </c>
      <c r="H25" s="8">
        <f t="shared" si="1"/>
        <v>46241</v>
      </c>
    </row>
    <row r="26" ht="22.5" customHeight="1">
      <c r="A26" s="9" t="s">
        <v>121</v>
      </c>
      <c r="B26" s="10">
        <v>2.0</v>
      </c>
      <c r="C26" s="11" t="s">
        <v>122</v>
      </c>
      <c r="D26" s="11" t="s">
        <v>123</v>
      </c>
      <c r="E26" s="11" t="s">
        <v>124</v>
      </c>
      <c r="F26" s="12" t="s">
        <v>27</v>
      </c>
      <c r="G26" s="13">
        <v>45796.0</v>
      </c>
      <c r="H26" s="14">
        <f t="shared" si="1"/>
        <v>46161</v>
      </c>
    </row>
    <row r="27" ht="22.5" customHeight="1">
      <c r="A27" s="9" t="s">
        <v>125</v>
      </c>
      <c r="B27" s="17">
        <v>2.0</v>
      </c>
      <c r="C27" s="18" t="s">
        <v>126</v>
      </c>
      <c r="D27" s="18" t="s">
        <v>127</v>
      </c>
      <c r="E27" s="19" t="s">
        <v>128</v>
      </c>
      <c r="F27" s="19" t="s">
        <v>27</v>
      </c>
      <c r="G27" s="20">
        <v>46161.0</v>
      </c>
      <c r="H27" s="8">
        <f t="shared" si="1"/>
        <v>46526</v>
      </c>
    </row>
    <row r="28" ht="22.5" customHeight="1">
      <c r="A28" s="21" t="s">
        <v>129</v>
      </c>
      <c r="B28" s="17">
        <v>1.0</v>
      </c>
      <c r="C28" s="18" t="s">
        <v>130</v>
      </c>
      <c r="D28" s="19" t="s">
        <v>131</v>
      </c>
      <c r="E28" s="19" t="s">
        <v>132</v>
      </c>
      <c r="F28" s="22" t="s">
        <v>133</v>
      </c>
      <c r="G28" s="14">
        <v>45726.0</v>
      </c>
      <c r="H28" s="14" t="str">
        <f t="shared" si="1"/>
        <v>Dispensado de Alvará</v>
      </c>
    </row>
    <row r="29" ht="22.5" customHeight="1">
      <c r="A29" s="23" t="s">
        <v>134</v>
      </c>
      <c r="B29" s="24">
        <v>2.0</v>
      </c>
      <c r="C29" s="25" t="s">
        <v>135</v>
      </c>
      <c r="D29" s="26" t="s">
        <v>136</v>
      </c>
      <c r="E29" s="26" t="s">
        <v>137</v>
      </c>
      <c r="F29" s="27" t="s">
        <v>138</v>
      </c>
      <c r="G29" s="8">
        <v>45888.0</v>
      </c>
      <c r="H29" s="14">
        <f t="shared" si="1"/>
        <v>46253</v>
      </c>
    </row>
    <row r="30" ht="22.5" customHeight="1">
      <c r="A30" s="28" t="s">
        <v>139</v>
      </c>
      <c r="B30" s="29">
        <v>3.0</v>
      </c>
      <c r="C30" s="18" t="s">
        <v>140</v>
      </c>
      <c r="D30" s="19" t="s">
        <v>141</v>
      </c>
      <c r="E30" s="19" t="s">
        <v>142</v>
      </c>
      <c r="F30" s="12" t="s">
        <v>143</v>
      </c>
      <c r="G30" s="14">
        <v>45735.0</v>
      </c>
      <c r="H30" s="14">
        <f t="shared" si="1"/>
        <v>46100</v>
      </c>
    </row>
    <row r="31" ht="22.5" customHeight="1">
      <c r="A31" s="28" t="s">
        <v>144</v>
      </c>
      <c r="B31" s="29">
        <v>2.0</v>
      </c>
      <c r="C31" s="18" t="s">
        <v>145</v>
      </c>
      <c r="D31" s="19" t="s">
        <v>146</v>
      </c>
      <c r="E31" s="19" t="s">
        <v>147</v>
      </c>
      <c r="F31" s="22" t="s">
        <v>148</v>
      </c>
      <c r="G31" s="14">
        <v>46079.0</v>
      </c>
      <c r="H31" s="14">
        <f t="shared" si="1"/>
        <v>46444</v>
      </c>
    </row>
    <row r="32" ht="22.5" customHeight="1">
      <c r="A32" s="23" t="s">
        <v>149</v>
      </c>
      <c r="B32" s="24">
        <v>2.0</v>
      </c>
      <c r="C32" s="25" t="s">
        <v>150</v>
      </c>
      <c r="D32" s="26" t="s">
        <v>151</v>
      </c>
      <c r="E32" s="26" t="s">
        <v>113</v>
      </c>
      <c r="F32" s="27" t="s">
        <v>152</v>
      </c>
      <c r="G32" s="8">
        <v>46080.0</v>
      </c>
      <c r="H32" s="14">
        <f t="shared" si="1"/>
        <v>46445</v>
      </c>
    </row>
    <row r="33" ht="22.5" customHeight="1">
      <c r="A33" s="28" t="s">
        <v>153</v>
      </c>
      <c r="B33" s="29">
        <v>2.0</v>
      </c>
      <c r="C33" s="18" t="s">
        <v>154</v>
      </c>
      <c r="D33" s="19" t="s">
        <v>155</v>
      </c>
      <c r="E33" s="19" t="s">
        <v>156</v>
      </c>
      <c r="F33" s="22" t="s">
        <v>157</v>
      </c>
      <c r="G33" s="30">
        <v>45917.0</v>
      </c>
      <c r="H33" s="14">
        <f t="shared" si="1"/>
        <v>46282</v>
      </c>
    </row>
    <row r="34" ht="22.5" customHeight="1">
      <c r="A34" s="23" t="s">
        <v>158</v>
      </c>
      <c r="B34" s="24">
        <v>2.0</v>
      </c>
      <c r="C34" s="25" t="s">
        <v>159</v>
      </c>
      <c r="D34" s="26" t="s">
        <v>160</v>
      </c>
      <c r="E34" s="26" t="s">
        <v>161</v>
      </c>
      <c r="F34" s="27" t="s">
        <v>162</v>
      </c>
      <c r="G34" s="8">
        <v>45947.0</v>
      </c>
      <c r="H34" s="14">
        <f t="shared" si="1"/>
        <v>46312</v>
      </c>
    </row>
    <row r="35" ht="22.5" customHeight="1">
      <c r="A35" s="23" t="s">
        <v>163</v>
      </c>
      <c r="B35" s="24">
        <v>2.0</v>
      </c>
      <c r="C35" s="25" t="s">
        <v>164</v>
      </c>
      <c r="D35" s="26" t="s">
        <v>165</v>
      </c>
      <c r="E35" s="26" t="s">
        <v>166</v>
      </c>
      <c r="F35" s="27" t="s">
        <v>167</v>
      </c>
      <c r="G35" s="31">
        <v>45922.0</v>
      </c>
      <c r="H35" s="14">
        <f t="shared" si="1"/>
        <v>46287</v>
      </c>
    </row>
    <row r="36" ht="22.5" customHeight="1">
      <c r="A36" s="23" t="s">
        <v>168</v>
      </c>
      <c r="B36" s="24">
        <v>2.0</v>
      </c>
      <c r="C36" s="25" t="s">
        <v>169</v>
      </c>
      <c r="D36" s="26" t="s">
        <v>170</v>
      </c>
      <c r="E36" s="26" t="s">
        <v>171</v>
      </c>
      <c r="F36" s="27" t="s">
        <v>138</v>
      </c>
      <c r="G36" s="31">
        <v>45975.0</v>
      </c>
      <c r="H36" s="14">
        <f t="shared" si="1"/>
        <v>46340</v>
      </c>
    </row>
    <row r="37" ht="22.5" customHeight="1">
      <c r="A37" s="23" t="s">
        <v>172</v>
      </c>
      <c r="B37" s="24">
        <v>2.0</v>
      </c>
      <c r="C37" s="25" t="s">
        <v>173</v>
      </c>
      <c r="D37" s="26" t="s">
        <v>174</v>
      </c>
      <c r="E37" s="26" t="s">
        <v>175</v>
      </c>
      <c r="F37" s="27" t="s">
        <v>176</v>
      </c>
      <c r="G37" s="8">
        <v>45979.0</v>
      </c>
      <c r="H37" s="14">
        <f t="shared" si="1"/>
        <v>46344</v>
      </c>
    </row>
    <row r="38" ht="22.5" customHeight="1">
      <c r="A38" s="28" t="s">
        <v>177</v>
      </c>
      <c r="B38" s="29">
        <v>2.0</v>
      </c>
      <c r="C38" s="18" t="s">
        <v>178</v>
      </c>
      <c r="D38" s="19" t="s">
        <v>179</v>
      </c>
      <c r="E38" s="19" t="s">
        <v>180</v>
      </c>
      <c r="F38" s="22" t="s">
        <v>181</v>
      </c>
      <c r="G38" s="14">
        <v>45973.0</v>
      </c>
      <c r="H38" s="14">
        <f t="shared" si="1"/>
        <v>46338</v>
      </c>
    </row>
    <row r="39" ht="22.5" customHeight="1">
      <c r="A39" s="28" t="s">
        <v>182</v>
      </c>
      <c r="B39" s="29">
        <v>2.0</v>
      </c>
      <c r="C39" s="18" t="s">
        <v>183</v>
      </c>
      <c r="D39" s="19" t="s">
        <v>184</v>
      </c>
      <c r="E39" s="19" t="s">
        <v>185</v>
      </c>
      <c r="F39" s="22" t="s">
        <v>186</v>
      </c>
      <c r="G39" s="14">
        <v>46009.0</v>
      </c>
      <c r="H39" s="14">
        <f t="shared" si="1"/>
        <v>46374</v>
      </c>
    </row>
    <row r="40" ht="22.5" customHeight="1">
      <c r="A40" s="23" t="s">
        <v>187</v>
      </c>
      <c r="B40" s="24">
        <v>2.0</v>
      </c>
      <c r="C40" s="25" t="s">
        <v>188</v>
      </c>
      <c r="D40" s="26" t="s">
        <v>189</v>
      </c>
      <c r="E40" s="26" t="s">
        <v>190</v>
      </c>
      <c r="F40" s="27" t="s">
        <v>191</v>
      </c>
      <c r="G40" s="8">
        <v>45973.0</v>
      </c>
      <c r="H40" s="14">
        <f t="shared" si="1"/>
        <v>46338</v>
      </c>
    </row>
    <row r="41" ht="22.5" customHeight="1">
      <c r="A41" s="28" t="s">
        <v>192</v>
      </c>
      <c r="B41" s="29">
        <v>2.0</v>
      </c>
      <c r="C41" s="18" t="s">
        <v>193</v>
      </c>
      <c r="D41" s="19" t="s">
        <v>194</v>
      </c>
      <c r="E41" s="19" t="s">
        <v>195</v>
      </c>
      <c r="F41" s="22" t="s">
        <v>196</v>
      </c>
      <c r="G41" s="14">
        <v>45973.0</v>
      </c>
      <c r="H41" s="14">
        <f t="shared" si="1"/>
        <v>46338</v>
      </c>
    </row>
    <row r="42" ht="22.5" customHeight="1">
      <c r="A42" s="23" t="s">
        <v>197</v>
      </c>
      <c r="B42" s="24">
        <v>2.0</v>
      </c>
      <c r="C42" s="25" t="s">
        <v>198</v>
      </c>
      <c r="D42" s="5" t="s">
        <v>199</v>
      </c>
      <c r="E42" s="26" t="s">
        <v>200</v>
      </c>
      <c r="F42" s="27" t="s">
        <v>201</v>
      </c>
      <c r="G42" s="8">
        <v>45684.0</v>
      </c>
      <c r="H42" s="8">
        <f t="shared" si="1"/>
        <v>46049</v>
      </c>
    </row>
    <row r="43" ht="22.5" customHeight="1">
      <c r="A43" s="23" t="s">
        <v>202</v>
      </c>
      <c r="B43" s="24">
        <v>3.0</v>
      </c>
      <c r="C43" s="25" t="s">
        <v>203</v>
      </c>
      <c r="D43" s="26" t="s">
        <v>204</v>
      </c>
      <c r="E43" s="26" t="s">
        <v>205</v>
      </c>
      <c r="F43" s="27" t="s">
        <v>206</v>
      </c>
      <c r="G43" s="8">
        <v>45784.0</v>
      </c>
      <c r="H43" s="14">
        <f t="shared" si="1"/>
        <v>46149</v>
      </c>
    </row>
    <row r="44" ht="22.5" customHeight="1">
      <c r="A44" s="23" t="s">
        <v>207</v>
      </c>
      <c r="B44" s="24">
        <v>3.0</v>
      </c>
      <c r="C44" s="25" t="s">
        <v>208</v>
      </c>
      <c r="D44" s="26" t="s">
        <v>209</v>
      </c>
      <c r="E44" s="26" t="s">
        <v>210</v>
      </c>
      <c r="F44" s="27" t="s">
        <v>211</v>
      </c>
      <c r="G44" s="8">
        <v>46105.0</v>
      </c>
      <c r="H44" s="14">
        <f t="shared" si="1"/>
        <v>46470</v>
      </c>
    </row>
    <row r="45" ht="22.5" customHeight="1">
      <c r="A45" s="28" t="s">
        <v>212</v>
      </c>
      <c r="B45" s="29">
        <v>3.0</v>
      </c>
      <c r="C45" s="18" t="s">
        <v>213</v>
      </c>
      <c r="D45" s="19" t="s">
        <v>214</v>
      </c>
      <c r="E45" s="19" t="s">
        <v>215</v>
      </c>
      <c r="F45" s="22" t="s">
        <v>206</v>
      </c>
      <c r="G45" s="14">
        <v>46107.0</v>
      </c>
      <c r="H45" s="14">
        <f t="shared" si="1"/>
        <v>46472</v>
      </c>
    </row>
    <row r="46" ht="22.5" customHeight="1">
      <c r="A46" s="23" t="s">
        <v>216</v>
      </c>
      <c r="B46" s="24">
        <v>3.0</v>
      </c>
      <c r="C46" s="25" t="s">
        <v>217</v>
      </c>
      <c r="D46" s="26" t="s">
        <v>218</v>
      </c>
      <c r="E46" s="26" t="s">
        <v>219</v>
      </c>
      <c r="F46" s="27" t="s">
        <v>206</v>
      </c>
      <c r="G46" s="8">
        <v>46111.0</v>
      </c>
      <c r="H46" s="14">
        <f t="shared" si="1"/>
        <v>46476</v>
      </c>
    </row>
    <row r="47" ht="22.5" customHeight="1">
      <c r="A47" s="28" t="s">
        <v>220</v>
      </c>
      <c r="B47" s="29">
        <v>3.0</v>
      </c>
      <c r="C47" s="18" t="s">
        <v>221</v>
      </c>
      <c r="D47" s="19" t="s">
        <v>222</v>
      </c>
      <c r="E47" s="19" t="s">
        <v>223</v>
      </c>
      <c r="F47" s="22" t="s">
        <v>206</v>
      </c>
      <c r="G47" s="14">
        <v>45812.0</v>
      </c>
      <c r="H47" s="14">
        <f t="shared" si="1"/>
        <v>46177</v>
      </c>
    </row>
    <row r="48" ht="22.5" customHeight="1">
      <c r="A48" s="23" t="s">
        <v>224</v>
      </c>
      <c r="B48" s="24">
        <v>3.0</v>
      </c>
      <c r="C48" s="25" t="s">
        <v>225</v>
      </c>
      <c r="D48" s="26" t="s">
        <v>226</v>
      </c>
      <c r="E48" s="26" t="s">
        <v>227</v>
      </c>
      <c r="F48" s="27" t="s">
        <v>206</v>
      </c>
      <c r="G48" s="8">
        <v>46128.0</v>
      </c>
      <c r="H48" s="14">
        <f t="shared" si="1"/>
        <v>46493</v>
      </c>
    </row>
    <row r="49" ht="22.5" customHeight="1">
      <c r="A49" s="28" t="s">
        <v>228</v>
      </c>
      <c r="B49" s="29">
        <v>3.0</v>
      </c>
      <c r="C49" s="18" t="s">
        <v>229</v>
      </c>
      <c r="D49" s="19" t="s">
        <v>230</v>
      </c>
      <c r="E49" s="19" t="s">
        <v>231</v>
      </c>
      <c r="F49" s="22" t="s">
        <v>232</v>
      </c>
      <c r="G49" s="14">
        <v>46057.0</v>
      </c>
      <c r="H49" s="14">
        <f t="shared" si="1"/>
        <v>46422</v>
      </c>
    </row>
    <row r="50" ht="22.5" customHeight="1">
      <c r="A50" s="28" t="s">
        <v>233</v>
      </c>
      <c r="B50" s="29">
        <v>2.0</v>
      </c>
      <c r="C50" s="18" t="s">
        <v>234</v>
      </c>
      <c r="D50" s="19" t="s">
        <v>235</v>
      </c>
      <c r="E50" s="19" t="s">
        <v>236</v>
      </c>
      <c r="F50" s="22" t="s">
        <v>237</v>
      </c>
      <c r="G50" s="14">
        <v>45849.0</v>
      </c>
      <c r="H50" s="14">
        <f t="shared" si="1"/>
        <v>46214</v>
      </c>
    </row>
    <row r="51" ht="22.5" customHeight="1">
      <c r="A51" s="23" t="s">
        <v>238</v>
      </c>
      <c r="B51" s="24">
        <v>2.0</v>
      </c>
      <c r="C51" s="25" t="s">
        <v>239</v>
      </c>
      <c r="D51" s="26" t="s">
        <v>240</v>
      </c>
      <c r="E51" s="26" t="s">
        <v>241</v>
      </c>
      <c r="F51" s="27" t="s">
        <v>242</v>
      </c>
      <c r="G51" s="8">
        <v>45763.0</v>
      </c>
      <c r="H51" s="14">
        <f t="shared" si="1"/>
        <v>46128</v>
      </c>
    </row>
    <row r="52" ht="22.5" customHeight="1">
      <c r="A52" s="23" t="s">
        <v>243</v>
      </c>
      <c r="B52" s="24">
        <v>3.0</v>
      </c>
      <c r="C52" s="25" t="s">
        <v>244</v>
      </c>
      <c r="D52" s="26" t="s">
        <v>245</v>
      </c>
      <c r="E52" s="26" t="s">
        <v>246</v>
      </c>
      <c r="F52" s="27" t="s">
        <v>247</v>
      </c>
      <c r="G52" s="8">
        <v>45855.0</v>
      </c>
      <c r="H52" s="14">
        <f t="shared" si="1"/>
        <v>46220</v>
      </c>
    </row>
    <row r="53" ht="22.5" customHeight="1">
      <c r="A53" s="28" t="s">
        <v>248</v>
      </c>
      <c r="B53" s="32"/>
      <c r="C53" s="18" t="s">
        <v>249</v>
      </c>
      <c r="D53" s="19" t="s">
        <v>250</v>
      </c>
      <c r="E53" s="19" t="s">
        <v>251</v>
      </c>
      <c r="F53" s="22" t="s">
        <v>252</v>
      </c>
      <c r="G53" s="30">
        <v>45945.0</v>
      </c>
      <c r="H53" s="14">
        <f t="shared" si="1"/>
        <v>46310</v>
      </c>
    </row>
    <row r="54" ht="22.5" customHeight="1">
      <c r="A54" s="28" t="s">
        <v>253</v>
      </c>
      <c r="B54" s="29">
        <v>2.0</v>
      </c>
      <c r="C54" s="18" t="s">
        <v>254</v>
      </c>
      <c r="D54" s="19" t="s">
        <v>255</v>
      </c>
      <c r="E54" s="19" t="s">
        <v>256</v>
      </c>
      <c r="F54" s="22" t="s">
        <v>257</v>
      </c>
      <c r="G54" s="14">
        <v>45861.0</v>
      </c>
      <c r="H54" s="14">
        <f t="shared" si="1"/>
        <v>46226</v>
      </c>
    </row>
    <row r="55" ht="22.5" customHeight="1">
      <c r="A55" s="9" t="s">
        <v>258</v>
      </c>
      <c r="B55" s="29">
        <v>2.0</v>
      </c>
      <c r="C55" s="18" t="s">
        <v>259</v>
      </c>
      <c r="D55" s="19" t="s">
        <v>260</v>
      </c>
      <c r="E55" s="19" t="s">
        <v>261</v>
      </c>
      <c r="F55" s="22" t="s">
        <v>262</v>
      </c>
      <c r="G55" s="14">
        <v>46180.0</v>
      </c>
      <c r="H55" s="14">
        <f t="shared" si="1"/>
        <v>46545</v>
      </c>
    </row>
    <row r="56" ht="22.5" customHeight="1">
      <c r="A56" s="28" t="s">
        <v>263</v>
      </c>
      <c r="B56" s="29">
        <v>2.0</v>
      </c>
      <c r="C56" s="18" t="s">
        <v>264</v>
      </c>
      <c r="D56" s="19" t="s">
        <v>265</v>
      </c>
      <c r="E56" s="19" t="s">
        <v>266</v>
      </c>
      <c r="F56" s="22" t="s">
        <v>267</v>
      </c>
      <c r="G56" s="14">
        <v>45797.0</v>
      </c>
      <c r="H56" s="14">
        <f t="shared" si="1"/>
        <v>46162</v>
      </c>
    </row>
    <row r="57" ht="22.5" customHeight="1">
      <c r="A57" s="3" t="s">
        <v>268</v>
      </c>
      <c r="B57" s="24">
        <v>3.0</v>
      </c>
      <c r="C57" s="25" t="s">
        <v>269</v>
      </c>
      <c r="D57" s="26" t="s">
        <v>270</v>
      </c>
      <c r="E57" s="26" t="s">
        <v>271</v>
      </c>
      <c r="F57" s="27" t="s">
        <v>272</v>
      </c>
      <c r="G57" s="15">
        <v>46107.0</v>
      </c>
      <c r="H57" s="14">
        <f t="shared" si="1"/>
        <v>46472</v>
      </c>
    </row>
    <row r="58" ht="22.5" customHeight="1">
      <c r="A58" s="9" t="s">
        <v>273</v>
      </c>
      <c r="B58" s="17">
        <v>2.0</v>
      </c>
      <c r="C58" s="11" t="s">
        <v>274</v>
      </c>
      <c r="D58" s="19" t="s">
        <v>275</v>
      </c>
      <c r="E58" s="19" t="s">
        <v>276</v>
      </c>
      <c r="F58" s="12" t="s">
        <v>267</v>
      </c>
      <c r="G58" s="20">
        <v>46162.0</v>
      </c>
      <c r="H58" s="14">
        <f t="shared" si="1"/>
        <v>46527</v>
      </c>
    </row>
    <row r="59" ht="22.5" customHeight="1">
      <c r="A59" s="3" t="s">
        <v>277</v>
      </c>
      <c r="B59" s="5">
        <v>3.0</v>
      </c>
      <c r="C59" s="5" t="s">
        <v>278</v>
      </c>
      <c r="D59" s="5" t="s">
        <v>279</v>
      </c>
      <c r="E59" s="5" t="s">
        <v>280</v>
      </c>
      <c r="F59" s="5" t="s">
        <v>281</v>
      </c>
      <c r="G59" s="15">
        <v>46120.0</v>
      </c>
      <c r="H59" s="8">
        <f t="shared" si="1"/>
        <v>46485</v>
      </c>
    </row>
    <row r="60" ht="22.5" customHeight="1">
      <c r="A60" s="9"/>
      <c r="B60" s="10"/>
      <c r="C60" s="11"/>
      <c r="D60" s="11"/>
      <c r="E60" s="11"/>
      <c r="F60" s="12"/>
      <c r="G60" s="13"/>
      <c r="H60" s="14"/>
    </row>
    <row r="61" ht="22.5" customHeight="1">
      <c r="A61" s="9"/>
      <c r="B61" s="10"/>
      <c r="C61" s="11"/>
      <c r="D61" s="11"/>
      <c r="E61" s="11"/>
      <c r="F61" s="12"/>
      <c r="G61" s="13"/>
      <c r="H61" s="14"/>
    </row>
    <row r="62" ht="22.5" customHeight="1">
      <c r="A62" s="3"/>
      <c r="B62" s="33"/>
      <c r="C62" s="5"/>
      <c r="D62" s="5"/>
      <c r="E62" s="5"/>
      <c r="F62" s="6"/>
      <c r="G62" s="7"/>
      <c r="H62" s="8"/>
    </row>
    <row r="63" ht="22.5" customHeight="1">
      <c r="A63" s="9"/>
      <c r="B63" s="10"/>
      <c r="C63" s="11"/>
      <c r="D63" s="11"/>
      <c r="E63" s="11"/>
      <c r="F63" s="12"/>
      <c r="G63" s="13"/>
      <c r="H63" s="14"/>
    </row>
    <row r="64" ht="22.5" customHeight="1">
      <c r="A64" s="9"/>
      <c r="B64" s="10"/>
      <c r="C64" s="11"/>
      <c r="D64" s="11"/>
      <c r="E64" s="11"/>
      <c r="F64" s="12"/>
      <c r="G64" s="13"/>
      <c r="H64" s="14"/>
    </row>
    <row r="65" ht="22.5" customHeight="1">
      <c r="A65" s="9"/>
      <c r="B65" s="10"/>
      <c r="C65" s="11"/>
      <c r="D65" s="11"/>
      <c r="E65" s="11"/>
      <c r="F65" s="12"/>
      <c r="G65" s="13"/>
      <c r="H65" s="14"/>
    </row>
    <row r="66" ht="22.5" customHeight="1">
      <c r="A66" s="23"/>
      <c r="B66" s="24"/>
      <c r="C66" s="25"/>
      <c r="D66" s="26"/>
      <c r="E66" s="26"/>
      <c r="F66" s="27"/>
      <c r="G66" s="8"/>
      <c r="H66" s="14"/>
    </row>
    <row r="67" ht="22.5" customHeight="1">
      <c r="A67" s="28"/>
      <c r="B67" s="29"/>
      <c r="C67" s="18"/>
      <c r="D67" s="19"/>
      <c r="E67" s="19"/>
      <c r="F67" s="22"/>
      <c r="G67" s="14"/>
      <c r="H67" s="14"/>
    </row>
    <row r="68" ht="22.5" customHeight="1">
      <c r="A68" s="23"/>
      <c r="B68" s="24"/>
      <c r="C68" s="25"/>
      <c r="D68" s="26"/>
      <c r="E68" s="26"/>
      <c r="F68" s="27"/>
      <c r="G68" s="8"/>
      <c r="H68" s="14"/>
    </row>
    <row r="69" ht="22.5" customHeight="1">
      <c r="A69" s="28"/>
      <c r="B69" s="29"/>
      <c r="C69" s="18"/>
      <c r="D69" s="19"/>
      <c r="E69" s="19"/>
      <c r="F69" s="22"/>
      <c r="G69" s="14"/>
      <c r="H69" s="14"/>
    </row>
    <row r="70" ht="22.5" customHeight="1">
      <c r="A70" s="23"/>
      <c r="B70" s="24"/>
      <c r="C70" s="25"/>
      <c r="D70" s="26"/>
      <c r="E70" s="26"/>
      <c r="F70" s="27"/>
      <c r="G70" s="8"/>
      <c r="H70" s="14"/>
    </row>
    <row r="71" ht="22.5" customHeight="1">
      <c r="A71" s="9"/>
      <c r="B71" s="29"/>
      <c r="C71" s="18"/>
      <c r="D71" s="19"/>
      <c r="E71" s="19"/>
      <c r="F71" s="22"/>
      <c r="G71" s="14"/>
      <c r="H71" s="14"/>
    </row>
    <row r="72" ht="22.5" customHeight="1">
      <c r="A72" s="9"/>
      <c r="B72" s="10"/>
      <c r="C72" s="11"/>
      <c r="D72" s="19"/>
      <c r="E72" s="19"/>
      <c r="F72" s="22"/>
      <c r="G72" s="34"/>
      <c r="H72" s="14"/>
    </row>
    <row r="73" ht="22.5" customHeight="1">
      <c r="A73" s="9"/>
      <c r="B73" s="10"/>
      <c r="C73" s="11"/>
      <c r="D73" s="19"/>
      <c r="E73" s="19"/>
      <c r="F73" s="22"/>
      <c r="G73" s="34"/>
      <c r="H73" s="14"/>
    </row>
    <row r="74" ht="22.5" customHeight="1">
      <c r="A74" s="9"/>
      <c r="B74" s="10"/>
      <c r="C74" s="11"/>
      <c r="D74" s="19"/>
      <c r="E74" s="19"/>
      <c r="F74" s="22"/>
      <c r="G74" s="34"/>
      <c r="H74" s="14"/>
    </row>
    <row r="75" ht="22.5" customHeight="1">
      <c r="A75" s="9"/>
      <c r="B75" s="10"/>
      <c r="C75" s="11"/>
      <c r="D75" s="19"/>
      <c r="E75" s="19"/>
      <c r="F75" s="22"/>
      <c r="G75" s="34"/>
      <c r="H75" s="14"/>
    </row>
    <row r="76" ht="22.5" customHeight="1">
      <c r="A76" s="9"/>
      <c r="B76" s="10"/>
      <c r="C76" s="11"/>
      <c r="D76" s="19"/>
      <c r="E76" s="19"/>
      <c r="F76" s="22"/>
      <c r="G76" s="34"/>
      <c r="H76" s="14"/>
    </row>
  </sheetData>
  <dataValidations>
    <dataValidation type="custom" allowBlank="1" showDropDown="1" sqref="G2:H76">
      <formula1>OR(NOT(ISERROR(DATEVALUE(G2))), AND(ISNUMBER(G2), LEFT(CELL("format", G2))="D"))</formula1>
    </dataValidation>
  </dataValidations>
  <drawing r:id="rId1"/>
  <tableParts count="1">
    <tablePart r:id="rId3"/>
  </tableParts>
</worksheet>
</file>